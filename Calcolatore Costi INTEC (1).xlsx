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eroxchemicalssrl\Desktop\Inus\"/>
    </mc:Choice>
  </mc:AlternateContent>
  <xr:revisionPtr revIDLastSave="0" documentId="13_ncr:1_{2546569D-D628-4F12-912E-128299CCAAD8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tabase" sheetId="1" r:id="rId1"/>
    <sheet name="Calcolatore Cost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2" l="1"/>
  <c r="F2" i="2" a="1"/>
  <c r="F2" i="2" s="1"/>
  <c r="E8" i="2" s="1"/>
  <c r="D2" i="2"/>
  <c r="C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<sst xmlns="http://schemas.openxmlformats.org/spreadsheetml/2006/main" count="32" uniqueCount="32">
  <si>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PRODOTTO</t>
  </si>
  <si>
    <t>DENSITA'</t>
  </si>
  <si>
    <t>LITRI</t>
  </si>
  <si>
    <t>KG</t>
  </si>
  <si>
    <t>MQ 16 MM</t>
  </si>
  <si>
    <t>PIEDI Q 16 MM</t>
  </si>
  <si>
    <t>MQ GIORNALIERI</t>
  </si>
  <si>
    <t>PIEDI QUADRI GIORNALIERI</t>
  </si>
  <si>
    <t>PF07E</t>
  </si>
  <si>
    <t>RESINA</t>
  </si>
  <si>
    <t>KG MAT 300</t>
  </si>
  <si>
    <t>KG MAT 450</t>
  </si>
  <si>
    <t>LIBBRE 1,0 OZ</t>
  </si>
  <si>
    <t>LIBBRE 1.5 OZ</t>
  </si>
  <si>
    <t>R999</t>
  </si>
  <si>
    <t>SUPERFICIE QUADRATA</t>
  </si>
  <si>
    <t>ORE LAVORATIVE</t>
  </si>
  <si>
    <t>FUSTI PASTA</t>
  </si>
  <si>
    <t>QUANTITA' (KG/LB)</t>
  </si>
  <si>
    <t>Prezzo PF07E / KG / LB</t>
  </si>
  <si>
    <t>Costo Totale PF07E</t>
  </si>
  <si>
    <t>Prezzo R999 / KG / LB</t>
  </si>
  <si>
    <t>Totale costo R999</t>
  </si>
  <si>
    <t>Euro (€)</t>
  </si>
  <si>
    <t>Unità di Misura *</t>
  </si>
  <si>
    <t>SCELTA MAT **</t>
  </si>
  <si>
    <t>Valuta***</t>
  </si>
  <si>
    <t>* Cliccare per selezionare unità di misura</t>
  </si>
  <si>
    <t>*** Cliccare per selezionare valuta</t>
  </si>
  <si>
    <t>Metri Quadri (m²)</t>
  </si>
  <si>
    <t>1.5 OZ</t>
  </si>
  <si>
    <t>** Cliccare per slezionare unità misura dei MAT, riferiot a due strati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</si>
</sst>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e" xfId="0" builtinId="0"/>
  </cellStyles>
  <dxfs count="3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93B6"/>
          <bgColor rgb="FF0F93B6"/>
        </patternFill>
      </fill>
    </dxf>
    <dxf>
      <border>
        <left style="thin">
          <color rgb="FF0F93B6"/>
        </left>
        <right style="thin">
          <color rgb="FF0F93B6"/>
        </right>
        <top style="thin">
          <color rgb="FF0F93B6"/>
        </top>
        <bottom style="thin">
          <color rgb="FF0F93B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93B6"/>
          <bgColor rgb="FF0F93B6"/>
        </patternFill>
      </fill>
    </dxf>
    <dxf>
      <border>
        <left style="thin">
          <color rgb="FF0F93B6"/>
        </left>
        <right style="thin">
          <color rgb="FF0F93B6"/>
        </right>
        <top style="thin">
          <color rgb="FF0F93B6"/>
        </top>
        <bottom style="thin">
          <color rgb="FF0F93B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93B6"/>
          <bgColor rgb="FF0F93B6"/>
        </patternFill>
      </fill>
    </dxf>
    <dxf>
      <border>
        <left style="thin">
          <color rgb="FF0F93B6"/>
        </left>
        <right style="thin">
          <color rgb="FF0F93B6"/>
        </right>
        <top style="thin">
          <color rgb="FF0F93B6"/>
        </top>
        <bottom style="thin">
          <color rgb="FF0F93B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F93B6"/>
          <bgColor rgb="FF0F93B6"/>
        </patternFill>
      </fill>
    </dxf>
    <dxf>
      <border>
        <left style="thin">
          <color rgb="FF0F93B6"/>
        </left>
        <right style="thin">
          <color rgb="FF0F93B6"/>
        </right>
        <top style="thin">
          <color rgb="FF0F93B6"/>
        </top>
        <bottom style="thin">
          <color rgb="FF0F93B6"/>
        </bottom>
      </border>
    </dxf>
  </dxfs>
  <tableStyles count="4">
    <tableStyle name="Database-style" pivot="0" count="4" xr9:uid="{00000000-0011-0000-FFFF-FFFF00000000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Database-style 2" pivot="0" count="4" xr9:uid="{00000000-0011-0000-FFFF-FFFF01000000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Calcolatore Costi-style" pivot="0" count="4" xr9:uid="{00000000-0011-0000-FFFF-FFFF02000000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Calcolatore Costi-style 2" pivot="0" count="4" xr9:uid="{00000000-0011-0000-FFFF-FFFF03000000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ATTERISTICHE_PF07E" displayName="CARATTERISTICHE_PF07E" ref="A1:H2">
  <tableColumns count="8">
    <tableColumn id="1" xr3:uid="{00000000-0010-0000-0000-000001000000}" name="PRODOTTO"/>
    <tableColumn id="2" xr3:uid="{00000000-0010-0000-0000-000002000000}" name="DENSITA'"/>
    <tableColumn id="3" xr3:uid="{00000000-0010-0000-0000-000003000000}" name="LITRI"/>
    <tableColumn id="4" xr3:uid="{00000000-0010-0000-0000-000004000000}" name="KG"/>
    <tableColumn id="5" xr3:uid="{00000000-0010-0000-0000-000005000000}" name="MQ 16 MM"/>
    <tableColumn id="6" xr3:uid="{00000000-0010-0000-0000-000006000000}" name="PIEDI Q 16 MM"/>
    <tableColumn id="7" xr3:uid="{00000000-0010-0000-0000-000007000000}" name="MQ GIORNALIERI"/>
    <tableColumn id="8" xr3:uid="{00000000-0010-0000-0000-000008000000}" name="PIEDI QUADRI GIORNALIERI"/>
  </tableColumns>
  <tableStyleInfo name="Databas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a_1_conflict908423154" displayName="Tabella_1_conflict908423154" ref="A8:E9">
  <tableColumns count="5">
    <tableColumn id="1" xr3:uid="{00000000-0010-0000-0100-000001000000}" name="RESINA"/>
    <tableColumn id="2" xr3:uid="{00000000-0010-0000-0100-000002000000}" name="KG MAT 300"/>
    <tableColumn id="3" xr3:uid="{00000000-0010-0000-0100-000003000000}" name="KG MAT 450"/>
    <tableColumn id="4" xr3:uid="{00000000-0010-0000-0100-000004000000}" name="LIBBRE 1,0 OZ"/>
    <tableColumn id="5" xr3:uid="{00000000-0010-0000-0100-000005000000}" name="LIBBRE 1.5 OZ"/>
  </tableColumns>
  <tableStyleInfo name="Databas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ULAZIONE_MATERIALI" displayName="SIMULAZIONE_MATERIALI" ref="A1:F2" headerRowDxfId="16" dataDxfId="15" totalsRowDxfId="14">
  <tableColumns count="6">
    <tableColumn id="1" xr3:uid="{00000000-0010-0000-0200-000001000000}" name="Unità di Misura *" dataDxfId="13"/>
    <tableColumn id="2" xr3:uid="{00000000-0010-0000-0200-000002000000}" name="SUPERFICIE QUADRATA" dataDxfId="12"/>
    <tableColumn id="3" xr3:uid="{00000000-0010-0000-0200-000003000000}" name="ORE LAVORATIVE" dataDxfId="11">
      <calculatedColumnFormula>(B2 / IF(A2="Metri Quadri (m²)", Database!$G$2, Database!$H$2) *8)+2</calculatedColumnFormula>
    </tableColumn>
    <tableColumn id="4" xr3:uid="{00000000-0010-0000-0200-000004000000}" name="FUSTI PASTA" dataDxfId="10">
      <calculatedColumnFormula>ROUND(B2 / (IF(A2="Metri Quadri (m²)", Database!$E$2, Database!$F$2)), 1)</calculatedColumnFormula>
    </tableColumn>
    <tableColumn id="5" xr3:uid="{00000000-0010-0000-0200-000005000000}" name="SCELTA MAT **" dataDxfId="9"/>
    <tableColumn id="6" xr3:uid="{00000000-0010-0000-0200-000006000000}" name="QUANTITA' (KG/LB)" dataDxfId="8">
      <calculatedColumnFormula array="1">_xlfn.SINGLE(IF(E2="", "", B2 * _xlfn.SWITCH(E2, "MAT 300", Database!$B$9, "MAT 450", Database!$C$9, "1,0 OZ", Database!$D$9, "1.5 OZ", Database!$E$9, 0)))</calculatedColumnFormula>
    </tableColumn>
  </tableColumns>
  <tableStyleInfo name="Calcolatore Costi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la_1" displayName="Tabella_1" ref="A7:E8" headerRowDxfId="7" dataDxfId="6" totalsRowDxfId="5">
  <tableColumns count="5">
    <tableColumn id="1" xr3:uid="{00000000-0010-0000-0300-000001000000}" name="Valuta***" dataDxfId="4"/>
    <tableColumn id="2" xr3:uid="{00000000-0010-0000-0300-000002000000}" name="Prezzo PF07E / KG / LB" dataDxfId="3"/>
    <tableColumn id="3" xr3:uid="{00000000-0010-0000-0300-000003000000}" name="Costo Totale PF07E" dataDxfId="2"/>
    <tableColumn id="4" xr3:uid="{00000000-0010-0000-0300-000004000000}" name="Prezzo R999 / KG / LB" dataDxfId="1"/>
    <tableColumn id="5" xr3:uid="{00000000-0010-0000-0300-000005000000}" name="Totale costo R999" dataDxfId="0"/>
  </tableColumns>
  <tableStyleInfo name="Calcolatore Costi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workbookViewId="0">
      <pane ySplit="1" topLeftCell="A2" activePane="bottomLeft" state="frozen"/>
      <selection pane="bottomLeft" activeCell="B9" sqref="B9"/>
    </sheetView>
  </sheetViews>
  <sheetFormatPr defaultColWidth="12.7109375" defaultRowHeight="15.75" customHeight="1" x14ac:dyDescent="0.2"/>
  <cols>
    <col min="1" max="1" width="13.7109375" customWidth="1"/>
    <col min="2" max="3" width="14.28515625" customWidth="1"/>
    <col min="4" max="4" width="15.7109375" customWidth="1"/>
    <col min="5" max="5" width="13.42578125" customWidth="1"/>
    <col min="6" max="6" width="16.28515625" customWidth="1"/>
    <col min="7" max="7" width="18" customWidth="1"/>
    <col min="8" max="8" width="25.4257812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.5" customHeight="1" x14ac:dyDescent="0.2">
      <c r="A2" s="2" t="s">
        <v>8</v>
      </c>
      <c r="B2" s="2">
        <v>0.7</v>
      </c>
      <c r="C2" s="2">
        <v>200</v>
      </c>
      <c r="D2" s="2">
        <v>140</v>
      </c>
      <c r="E2" s="2">
        <v>10</v>
      </c>
      <c r="F2" s="2">
        <v>107.6</v>
      </c>
      <c r="G2" s="2">
        <v>40</v>
      </c>
      <c r="H2" s="2">
        <v>430.55599999999998</v>
      </c>
    </row>
    <row r="8" spans="1:8" ht="22.5" customHeight="1" x14ac:dyDescent="0.2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</row>
    <row r="9" spans="1:8" ht="22.5" customHeight="1" x14ac:dyDescent="0.2">
      <c r="A9" s="2" t="s">
        <v>14</v>
      </c>
      <c r="B9" s="2">
        <v>1.5</v>
      </c>
      <c r="C9" s="2">
        <v>2.25</v>
      </c>
      <c r="D9" s="2">
        <v>0.312</v>
      </c>
      <c r="E9" s="2">
        <v>0.46800000000000003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3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7109375" defaultRowHeight="15.75" customHeight="1" x14ac:dyDescent="0.2"/>
  <cols>
    <col min="1" max="1" width="19.42578125" customWidth="1"/>
    <col min="2" max="2" width="22.7109375" customWidth="1"/>
    <col min="3" max="3" width="24.7109375" customWidth="1"/>
    <col min="4" max="4" width="21.42578125" customWidth="1"/>
    <col min="5" max="5" width="18" customWidth="1"/>
    <col min="6" max="6" width="19.42578125" customWidth="1"/>
  </cols>
  <sheetData>
    <row r="1" spans="1:6" ht="22.5" customHeight="1" x14ac:dyDescent="0.2">
      <c r="A1" s="3" t="s">
        <v>24</v>
      </c>
      <c r="B1" s="3" t="s">
        <v>15</v>
      </c>
      <c r="C1" s="3" t="s">
        <v>16</v>
      </c>
      <c r="D1" s="3" t="s">
        <v>17</v>
      </c>
      <c r="E1" s="3" t="s">
        <v>25</v>
      </c>
      <c r="F1" s="3" t="s">
        <v>18</v>
      </c>
    </row>
    <row r="2" spans="1:6" ht="22.5" customHeight="1" x14ac:dyDescent="0.2">
      <c r="A2" s="3" t="s">
        <v>29</v>
      </c>
      <c r="B2" s="3">
        <v>10</v>
      </c>
      <c r="C2" s="3">
        <f>(B2 / IF(A2="Metri Quadri (m²)", Database!$G$2, Database!$H$2) *8)+2</f>
        <v>4</v>
      </c>
      <c r="D2" s="3">
        <f>ROUND(B2 / (IF(A2="Metri Quadri (m²)", Database!$E$2, Database!$F$2)), 1)</f>
        <v>1</v>
      </c>
      <c r="E2" s="3" t="s">
        <v>30</v>
      </c>
      <c r="F2" s="3" cm="1">
        <f t="array" ref="F2">_xlfn.SINGLE(IF(E2="", "", B2 * _xlfn.SWITCH(E2, "MAT 300", Database!$B$9, "MAT 450", Database!$C$9, "1,0 OZ", Database!$D$9, "1.5 OZ", Database!$E$9, 0)))</f>
        <v>4.6800000000000006</v>
      </c>
    </row>
    <row r="7" spans="1:6" ht="22.5" customHeight="1" x14ac:dyDescent="0.2">
      <c r="A7" s="3" t="s">
        <v>26</v>
      </c>
      <c r="B7" s="3" t="s">
        <v>19</v>
      </c>
      <c r="C7" s="3" t="s">
        <v>20</v>
      </c>
      <c r="D7" s="3" t="s">
        <v>21</v>
      </c>
      <c r="E7" s="3" t="s">
        <v>22</v>
      </c>
    </row>
    <row r="8" spans="1:6" ht="22.5" customHeight="1" x14ac:dyDescent="0.2">
      <c r="A8" s="3" t="s">
        <v>23</v>
      </c>
      <c r="B8" s="3">
        <v>10.7</v>
      </c>
      <c r="C8" s="3">
        <f>B8*(D2*140)</f>
        <v>1498</v>
      </c>
      <c r="D8" s="3">
        <v>10</v>
      </c>
      <c r="E8" s="3">
        <f>F2*D8</f>
        <v>46.800000000000004</v>
      </c>
    </row>
    <row r="11" spans="1:6" ht="15.75" customHeight="1" x14ac:dyDescent="0.2">
      <c r="A11" t="s">
        <v>27</v>
      </c>
    </row>
    <row r="12" spans="1:6" ht="15.75" customHeight="1" x14ac:dyDescent="0.2">
      <c r="A12" t="s">
        <v>31</v>
      </c>
    </row>
    <row r="13" spans="1:6" ht="15.75" customHeight="1" x14ac:dyDescent="0.2">
      <c r="A13" t="s">
        <v>28</v>
      </c>
    </row>
  </sheetData>
  <dataValidations count="3">
    <dataValidation type="list" allowBlank="1" sqref="E2" xr:uid="{00000000-0002-0000-0100-000000000000}">
      <mc:AlternateContent xmlns:x12ac="http://schemas.microsoft.com/office/spreadsheetml/2011/1/ac" xmlns:mc="http://schemas.openxmlformats.org/markup-compatibility/2006">
        <mc:Choice Requires="x12ac">
          <x12ac:list>MAT 300,MAT 450,"1,0 OZ",1.5 OZ</x12ac:list>
        </mc:Choice>
        <mc:Fallback>
          <formula1>"MAT 300,MAT 450,1,0 OZ,1.5 OZ"</formula1>
        </mc:Fallback>
      </mc:AlternateContent>
    </dataValidation>
    <dataValidation type="list" allowBlank="1" sqref="A2" xr:uid="{00000000-0002-0000-0100-000001000000}">
      <formula1>"Metri Quadri (m²),Piedi Quadrati (ft²)"</formula1>
    </dataValidation>
    <dataValidation type="list" allowBlank="1" sqref="A8" xr:uid="{00000000-0002-0000-0100-000002000000}">
      <formula1>"Euro (€),Dollari ($)"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Database</vt:lpstr>
      <vt:lpstr>Calcolatore Costi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Gianni Rosano - INTEC SRL</cp:lastModifiedBy>
  <dcterms:modified xsi:type="dcterms:W3CDTF">2026-05-18T12:17:47Z</dcterms:modified>
</cp:coreProperties>
</file>